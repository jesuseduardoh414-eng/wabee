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Costo por perfil" sheetId="2" state="visible" r:id="rId4"/>
    <sheet name="Planes" sheetId="3" state="visible" r:id="rId5"/>
    <sheet name="Margenes" sheetId="4" state="visible" r:id="rId6"/>
    <sheet name="Simulador excedentes" sheetId="5" state="visible" r:id="rId7"/>
    <sheet name="Competenc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<sst xmlns="http://schemas.openxmlformats.org/spreadsheetml/2006/main" count="178" uniqueCount="160">
  <si>
    <t xml:space="preserve">Wabee - Supuestos del modelo</t>
  </si>
  <si>
    <t xml:space="preserve">Edita las celdas amarillas (azul=entrada). Tarifas Meta WhatsApp Mexico 2025. Moneda: MXN.</t>
  </si>
  <si>
    <t xml:space="preserve">Parametro</t>
  </si>
  <si>
    <t xml:space="preserve">Valor</t>
  </si>
  <si>
    <t xml:space="preserve">Nota</t>
  </si>
  <si>
    <t xml:space="preserve">Tipo de cambio USD a MXN</t>
  </si>
  <si>
    <t xml:space="preserve">Banxico ~17.80 jun-2026; 18 conservador</t>
  </si>
  <si>
    <t xml:space="preserve">Meta - Servicio (USD/conv)</t>
  </si>
  <si>
    <t xml:space="preserve">Conversaciones iniciadas por el cliente: gratis</t>
  </si>
  <si>
    <t xml:space="preserve">Meta - Utilidad (USD/plantilla)</t>
  </si>
  <si>
    <t xml:space="preserve">Utility template</t>
  </si>
  <si>
    <t xml:space="preserve">Meta - Marketing (USD/plantilla)</t>
  </si>
  <si>
    <t xml:space="preserve">Marketing template</t>
  </si>
  <si>
    <t xml:space="preserve">Meta - Autenticacion (USD/plantilla)</t>
  </si>
  <si>
    <t xml:space="preserve">Auth template</t>
  </si>
  <si>
    <t xml:space="preserve">Gemini IA (USD/conversacion)</t>
  </si>
  <si>
    <t xml:space="preserve">~ 0.30 USD por 300 conversaciones</t>
  </si>
  <si>
    <t xml:space="preserve">Correo (USD/cuenta/mes)</t>
  </si>
  <si>
    <t xml:space="preserve">Invitaciones, verificacion, notificaciones</t>
  </si>
  <si>
    <t xml:space="preserve">Costo fijo prorrateado (USD/cuenta/mes)</t>
  </si>
  <si>
    <t xml:space="preserve">Infraestructura fija / nro de cuentas activas</t>
  </si>
  <si>
    <t xml:space="preserve">Costo real de servir a un usuario</t>
  </si>
  <si>
    <t xml:space="preserve">Itemizado por perfil. Formulas en MXN enlazadas a Supuestos.</t>
  </si>
  <si>
    <t xml:space="preserve">Concepto</t>
  </si>
  <si>
    <t xml:space="preserve">Ligero</t>
  </si>
  <si>
    <t xml:space="preserve">Medio</t>
  </si>
  <si>
    <t xml:space="preserve">Pesado (con campana)</t>
  </si>
  <si>
    <t xml:space="preserve">Pesado sin campana</t>
  </si>
  <si>
    <t xml:space="preserve">Conversaciones totales</t>
  </si>
  <si>
    <t xml:space="preserve">Entrantes (cliente inicia) - gratis</t>
  </si>
  <si>
    <t xml:space="preserve">Plantillas Utilidad</t>
  </si>
  <si>
    <t xml:space="preserve">Plantillas Marketing</t>
  </si>
  <si>
    <t xml:space="preserve">Plantillas Autenticacion</t>
  </si>
  <si>
    <t xml:space="preserve">Conversaciones con IA (Gemini)</t>
  </si>
  <si>
    <t xml:space="preserve">Costo WhatsApp (MXN)</t>
  </si>
  <si>
    <t xml:space="preserve">Costo IA Gemini (MXN)</t>
  </si>
  <si>
    <t xml:space="preserve">Costo correo (MXN)</t>
  </si>
  <si>
    <t xml:space="preserve">Costo VARIABLE / usuario (MXN)</t>
  </si>
  <si>
    <t xml:space="preserve">Costo fijo prorrateado (MXN)</t>
  </si>
  <si>
    <t xml:space="preserve">COSTO TOTAL de servir (MXN)</t>
  </si>
  <si>
    <t xml:space="preserve">Nota: 'Pesado con campana' incluye 5,000 plantillas de marketing que el CLIENTE paga via excedente. El costo del plan Business usa 'Pesado sin campana'.</t>
  </si>
  <si>
    <t xml:space="preserve">Wabee - Planes y precios (MXN / mes)</t>
  </si>
  <si>
    <t xml:space="preserve">Free + 3 planes de pago. Cupo de plantillas + excedente. Facturacion mensual.</t>
  </si>
  <si>
    <t xml:space="preserve">Caracteristica</t>
  </si>
  <si>
    <t xml:space="preserve">Free (prueba)</t>
  </si>
  <si>
    <t xml:space="preserve">Starter</t>
  </si>
  <si>
    <t xml:space="preserve">Pro</t>
  </si>
  <si>
    <t xml:space="preserve">Business</t>
  </si>
  <si>
    <t xml:space="preserve">Notas / dimension</t>
  </si>
  <si>
    <t xml:space="preserve">Precio MXN / mes</t>
  </si>
  <si>
    <t xml:space="preserve">Mensual, sin IVA</t>
  </si>
  <si>
    <t xml:space="preserve">Canales WhatsApp</t>
  </si>
  <si>
    <t xml:space="preserve">countChannels</t>
  </si>
  <si>
    <t xml:space="preserve">Contactos</t>
  </si>
  <si>
    <t xml:space="preserve">countContacts</t>
  </si>
  <si>
    <t xml:space="preserve">Agentes IA (perfiles)</t>
  </si>
  <si>
    <t xml:space="preserve">1</t>
  </si>
  <si>
    <t xml:space="preserve">2</t>
  </si>
  <si>
    <t xml:space="preserve">5</t>
  </si>
  <si>
    <t xml:space="preserve">Ilimitados</t>
  </si>
  <si>
    <t xml:space="preserve">countAiAgents</t>
  </si>
  <si>
    <t xml:space="preserve">Automatizaciones (flujos)</t>
  </si>
  <si>
    <t xml:space="preserve">25</t>
  </si>
  <si>
    <t xml:space="preserve">Ilimitadas</t>
  </si>
  <si>
    <t xml:space="preserve">Campanas / mes</t>
  </si>
  <si>
    <t xml:space="preserve">-</t>
  </si>
  <si>
    <t xml:space="preserve">10</t>
  </si>
  <si>
    <t xml:space="preserve">countCampaignsThisMonth</t>
  </si>
  <si>
    <t xml:space="preserve">Miembros del equipo</t>
  </si>
  <si>
    <t xml:space="preserve">countTeamMembers</t>
  </si>
  <si>
    <t xml:space="preserve">Plantillas incluidas / mes</t>
  </si>
  <si>
    <t xml:space="preserve">1 (demo)</t>
  </si>
  <si>
    <t xml:space="preserve">FALTA EN MODELO - agregar</t>
  </si>
  <si>
    <t xml:space="preserve">Excedente por plantilla (MXN)</t>
  </si>
  <si>
    <t xml:space="preserve">Mensajes de IA / mes</t>
  </si>
  <si>
    <t xml:space="preserve">10 (demo)</t>
  </si>
  <si>
    <t xml:space="preserve">Entrenamiento de IA (fuentes)</t>
  </si>
  <si>
    <t xml:space="preserve">3</t>
  </si>
  <si>
    <t xml:space="preserve">Ilimitado</t>
  </si>
  <si>
    <t xml:space="preserve">para ver como funciona</t>
  </si>
  <si>
    <t xml:space="preserve">Storage media</t>
  </si>
  <si>
    <t xml:space="preserve">200 MB</t>
  </si>
  <si>
    <t xml:space="preserve">5 GB</t>
  </si>
  <si>
    <t xml:space="preserve">20 GB</t>
  </si>
  <si>
    <t xml:space="preserve">100 GB</t>
  </si>
  <si>
    <t xml:space="preserve">limite STORAGE</t>
  </si>
  <si>
    <t xml:space="preserve">Widgets web</t>
  </si>
  <si>
    <t xml:space="preserve">Marketplace de plantillas</t>
  </si>
  <si>
    <t xml:space="preserve">Ver</t>
  </si>
  <si>
    <t xml:space="preserve">Instalar</t>
  </si>
  <si>
    <t xml:space="preserve">Instalar + publicar</t>
  </si>
  <si>
    <t xml:space="preserve">Completo</t>
  </si>
  <si>
    <t xml:space="preserve">marketplace_access</t>
  </si>
  <si>
    <t xml:space="preserve">Integraciones CRM</t>
  </si>
  <si>
    <t xml:space="preserve">Si</t>
  </si>
  <si>
    <t xml:space="preserve">crm_integrations</t>
  </si>
  <si>
    <t xml:space="preserve">Soporte</t>
  </si>
  <si>
    <t xml:space="preserve">Comunidad</t>
  </si>
  <si>
    <t xml:space="preserve">Email</t>
  </si>
  <si>
    <t xml:space="preserve">Email prioritario</t>
  </si>
  <si>
    <t xml:space="preserve">Prioritario + onboarding</t>
  </si>
  <si>
    <t xml:space="preserve">Precio vs costo y margen por plan</t>
  </si>
  <si>
    <t xml:space="preserve">Costo de servir enlazado a 'Costo por perfil'. Margen sin excedentes.</t>
  </si>
  <si>
    <t xml:space="preserve">Plan</t>
  </si>
  <si>
    <t xml:space="preserve">Precio (MXN)</t>
  </si>
  <si>
    <t xml:space="preserve">Costo de servir (MXN)</t>
  </si>
  <si>
    <t xml:space="preserve">Margen bruto (MXN)</t>
  </si>
  <si>
    <t xml:space="preserve">Margen %</t>
  </si>
  <si>
    <t xml:space="preserve">El plan Free tiene margen negativo (costo de adquisicion); se recupera al convertir a planes de pago.</t>
  </si>
  <si>
    <t xml:space="preserve">Simulador de excedentes de plantillas</t>
  </si>
  <si>
    <t xml:space="preserve">Demuestra: la campana la paga el cliente. Edita celdas amarillas.</t>
  </si>
  <si>
    <t xml:space="preserve">Entrada</t>
  </si>
  <si>
    <t xml:space="preserve">Plantillas incluidas en el plan</t>
  </si>
  <si>
    <t xml:space="preserve">Ej. Business = 2,000</t>
  </si>
  <si>
    <t xml:space="preserve">Precio de excedente (MXN/plantilla)</t>
  </si>
  <si>
    <t xml:space="preserve">Ej. Business = 0.55</t>
  </si>
  <si>
    <t xml:space="preserve">Plantillas Marketing enviadas</t>
  </si>
  <si>
    <t xml:space="preserve">Campana masiva</t>
  </si>
  <si>
    <t xml:space="preserve">Plantillas Utilidad enviadas</t>
  </si>
  <si>
    <t xml:space="preserve">Resultado</t>
  </si>
  <si>
    <t xml:space="preserve">MXN</t>
  </si>
  <si>
    <t xml:space="preserve">Formula</t>
  </si>
  <si>
    <t xml:space="preserve">Total plantillas enviadas</t>
  </si>
  <si>
    <t xml:space="preserve">mkt + utilidad</t>
  </si>
  <si>
    <t xml:space="preserve">Plantillas en excedente</t>
  </si>
  <si>
    <t xml:space="preserve">enviadas menos incluidas</t>
  </si>
  <si>
    <t xml:space="preserve">Costo Meta TOTAL de la campana (MXN)</t>
  </si>
  <si>
    <t xml:space="preserve">informativo</t>
  </si>
  <si>
    <t xml:space="preserve">Costo Meta del EXCEDENTE (marginal, MXN)</t>
  </si>
  <si>
    <t xml:space="preserve">excedente x costo Meta promedio</t>
  </si>
  <si>
    <t xml:space="preserve">Cobro al cliente por excedente (MXN)</t>
  </si>
  <si>
    <t xml:space="preserve">excedente x precio</t>
  </si>
  <si>
    <t xml:space="preserve">Ganancia NETA del excedente (MXN)</t>
  </si>
  <si>
    <t xml:space="preserve">cobro menos costo Meta del excedente</t>
  </si>
  <si>
    <t xml:space="preserve">Las plantillas INCLUIDAS las absorbe el precio del plan (por eso Business tiene ~80% de margen). El EXCEDENTE se cobra por encima de su costo Meta marginal, asi una campana grande deja margen.</t>
  </si>
  <si>
    <t xml:space="preserve">Importante: manten el precio de excedente por encima de la tarifa de marketing (~0.52 MXN/plantilla) para no perder en campanas 100% marketing.</t>
  </si>
  <si>
    <t xml:space="preserve">Comparativa de precios - competencia (jun 2026)</t>
  </si>
  <si>
    <t xml:space="preserve">Referencia USD y equivalente MXN. Posicionamiento, no copia.</t>
  </si>
  <si>
    <t xml:space="preserve">Plataforma</t>
  </si>
  <si>
    <t xml:space="preserve">Rango de planes</t>
  </si>
  <si>
    <t xml:space="preserve">Desde USD</t>
  </si>
  <si>
    <t xml:space="preserve">Hasta USD</t>
  </si>
  <si>
    <t xml:space="preserve">Modelo de cobro</t>
  </si>
  <si>
    <t xml:space="preserve">Respond.io</t>
  </si>
  <si>
    <t xml:space="preserve">Starter-Advanced</t>
  </si>
  <si>
    <t xml:space="preserve">Por contactos activos (MAC) + mensajes aparte</t>
  </si>
  <si>
    <t xml:space="preserve">Wati</t>
  </si>
  <si>
    <t xml:space="preserve">Growth-Business</t>
  </si>
  <si>
    <t xml:space="preserve">Suscripcion + mensajes +20% Meta + add-ons</t>
  </si>
  <si>
    <t xml:space="preserve">ManyChat</t>
  </si>
  <si>
    <t xml:space="preserve">Free-Business</t>
  </si>
  <si>
    <t xml:space="preserve">Por contactos + add-on IA 29 USD + fees WhatsApp</t>
  </si>
  <si>
    <t xml:space="preserve">Cliengo</t>
  </si>
  <si>
    <t xml:space="preserve">Starter-Corporate</t>
  </si>
  <si>
    <t xml:space="preserve">Por conversaciones/agentes + WhatsApp API</t>
  </si>
  <si>
    <t xml:space="preserve">Wabee</t>
  </si>
  <si>
    <t xml:space="preserve">Free-Business (MXN)</t>
  </si>
  <si>
    <t xml:space="preserve">Cupo de plantillas + excedente (campana la paga el cliente)</t>
  </si>
  <si>
    <t xml:space="preserve">Wabee precio MXN</t>
  </si>
  <si>
    <t xml:space="preserve">749 / 1,799 / 4,499 MXN (Starter/Pro/Business)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</si>
</sst>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\$#,##0.00;&quot;($&quot;#,##0.00\);\-"/>
    <numFmt numFmtId="167" formatCode="\$0.0000"/>
    <numFmt numFmtId="168" formatCode="#,##0;\(#,##0\);\-"/>
    <numFmt numFmtId="169" formatCode="\$#,##0;&quot;($&quot;#,##0\);\-"/>
    <numFmt numFmtId="170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3D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1F6F3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3D"/>
        <bgColor rgb="FF008000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3D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18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0</v>
      </c>
      <c r="C6" s="6" t="s">
        <v>8</v>
      </c>
    </row>
    <row r="7" customFormat="false" ht="15" hidden="false" customHeight="false" outlineLevel="0" collapsed="false">
      <c r="A7" s="4" t="s">
        <v>9</v>
      </c>
      <c r="B7" s="8" t="n">
        <v>0.008</v>
      </c>
      <c r="C7" s="6" t="s">
        <v>10</v>
      </c>
    </row>
    <row r="8" customFormat="false" ht="15" hidden="false" customHeight="false" outlineLevel="0" collapsed="false">
      <c r="A8" s="4" t="s">
        <v>11</v>
      </c>
      <c r="B8" s="8" t="n">
        <v>0.029</v>
      </c>
      <c r="C8" s="6" t="s">
        <v>12</v>
      </c>
    </row>
    <row r="9" customFormat="false" ht="15" hidden="false" customHeight="false" outlineLevel="0" collapsed="false">
      <c r="A9" s="4" t="s">
        <v>13</v>
      </c>
      <c r="B9" s="8" t="n">
        <v>0.0135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8" t="n">
        <v>0.001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7" t="n">
        <v>0.05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7" t="n">
        <v>20</v>
      </c>
      <c r="C12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5" min="4" style="0" width="18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26.85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</row>
    <row r="5" customFormat="false" ht="15" hidden="false" customHeight="false" outlineLevel="0" collapsed="false">
      <c r="A5" s="4" t="s">
        <v>28</v>
      </c>
      <c r="B5" s="9" t="n">
        <v>300</v>
      </c>
      <c r="C5" s="9" t="n">
        <v>1500</v>
      </c>
      <c r="D5" s="9" t="n">
        <v>6000</v>
      </c>
      <c r="E5" s="9" t="n">
        <v>6000</v>
      </c>
    </row>
    <row r="6" customFormat="false" ht="15" hidden="false" customHeight="false" outlineLevel="0" collapsed="false">
      <c r="A6" s="4" t="s">
        <v>29</v>
      </c>
      <c r="B6" s="9" t="n">
        <v>240</v>
      </c>
      <c r="C6" s="9" t="n">
        <v>1050</v>
      </c>
      <c r="D6" s="9" t="n">
        <v>4000</v>
      </c>
      <c r="E6" s="9" t="n">
        <v>4000</v>
      </c>
    </row>
    <row r="7" customFormat="false" ht="15" hidden="false" customHeight="false" outlineLevel="0" collapsed="false">
      <c r="A7" s="4" t="s">
        <v>30</v>
      </c>
      <c r="B7" s="9" t="n">
        <v>60</v>
      </c>
      <c r="C7" s="9" t="n">
        <v>300</v>
      </c>
      <c r="D7" s="9" t="n">
        <v>2000</v>
      </c>
      <c r="E7" s="9" t="n">
        <v>2000</v>
      </c>
    </row>
    <row r="8" customFormat="false" ht="15" hidden="false" customHeight="false" outlineLevel="0" collapsed="false">
      <c r="A8" s="4" t="s">
        <v>31</v>
      </c>
      <c r="B8" s="9" t="n">
        <v>0</v>
      </c>
      <c r="C8" s="9" t="n">
        <v>150</v>
      </c>
      <c r="D8" s="9" t="n">
        <v>5000</v>
      </c>
      <c r="E8" s="9" t="n">
        <v>0</v>
      </c>
    </row>
    <row r="9" customFormat="false" ht="15" hidden="false" customHeight="false" outlineLevel="0" collapsed="false">
      <c r="A9" s="4" t="s">
        <v>32</v>
      </c>
      <c r="B9" s="9" t="n">
        <v>0</v>
      </c>
      <c r="C9" s="9" t="n">
        <v>0</v>
      </c>
      <c r="D9" s="9" t="n">
        <v>0</v>
      </c>
      <c r="E9" s="9" t="n">
        <v>0</v>
      </c>
    </row>
    <row r="10" customFormat="false" ht="15" hidden="false" customHeight="false" outlineLevel="0" collapsed="false">
      <c r="A10" s="4" t="s">
        <v>33</v>
      </c>
      <c r="B10" s="9" t="n">
        <v>300</v>
      </c>
      <c r="C10" s="9" t="n">
        <v>1500</v>
      </c>
      <c r="D10" s="9" t="n">
        <v>6000</v>
      </c>
      <c r="E10" s="9" t="n">
        <v>6000</v>
      </c>
    </row>
    <row r="11" customFormat="false" ht="15" hidden="false" customHeight="false" outlineLevel="0" collapsed="false">
      <c r="A11" s="4" t="s">
        <v>34</v>
      </c>
      <c r="B11" s="10" t="n">
        <f aca="false">(B7*Supuestos!$B$7+B8*Supuestos!$B$8+B9*Supuestos!$B$9)*Supuestos!$B$5</f>
        <v>8.64</v>
      </c>
      <c r="C11" s="10" t="n">
        <f aca="false">(C7*Supuestos!$B$7+C8*Supuestos!$B$8+C9*Supuestos!$B$9)*Supuestos!$B$5</f>
        <v>121.5</v>
      </c>
      <c r="D11" s="10" t="n">
        <f aca="false">(D7*Supuestos!$B$7+D8*Supuestos!$B$8+D9*Supuestos!$B$9)*Supuestos!$B$5</f>
        <v>2898</v>
      </c>
      <c r="E11" s="10" t="n">
        <f aca="false">(E7*Supuestos!$B$7+E8*Supuestos!$B$8+E9*Supuestos!$B$9)*Supuestos!$B$5</f>
        <v>288</v>
      </c>
    </row>
    <row r="12" customFormat="false" ht="15" hidden="false" customHeight="false" outlineLevel="0" collapsed="false">
      <c r="A12" s="4" t="s">
        <v>35</v>
      </c>
      <c r="B12" s="10" t="n">
        <f aca="false">(B10*Supuestos!$B$10)*Supuestos!$B$5</f>
        <v>5.4</v>
      </c>
      <c r="C12" s="10" t="n">
        <f aca="false">(C10*Supuestos!$B$10)*Supuestos!$B$5</f>
        <v>27</v>
      </c>
      <c r="D12" s="10" t="n">
        <f aca="false">(D10*Supuestos!$B$10)*Supuestos!$B$5</f>
        <v>108</v>
      </c>
      <c r="E12" s="10" t="n">
        <f aca="false">(E10*Supuestos!$B$10)*Supuestos!$B$5</f>
        <v>108</v>
      </c>
    </row>
    <row r="13" customFormat="false" ht="15" hidden="false" customHeight="false" outlineLevel="0" collapsed="false">
      <c r="A13" s="4" t="s">
        <v>36</v>
      </c>
      <c r="B13" s="11" t="n">
        <f aca="false">Supuestos!$B$11*Supuestos!$B$5</f>
        <v>0.9</v>
      </c>
      <c r="C13" s="11" t="n">
        <f aca="false">Supuestos!$B$11*Supuestos!$B$5</f>
        <v>0.9</v>
      </c>
      <c r="D13" s="11" t="n">
        <f aca="false">Supuestos!$B$11*Supuestos!$B$5</f>
        <v>0.9</v>
      </c>
      <c r="E13" s="11" t="n">
        <f aca="false">Supuestos!$B$11*Supuestos!$B$5</f>
        <v>0.9</v>
      </c>
    </row>
    <row r="14" customFormat="false" ht="15" hidden="false" customHeight="false" outlineLevel="0" collapsed="false">
      <c r="A14" s="4" t="s">
        <v>37</v>
      </c>
      <c r="B14" s="12" t="n">
        <f aca="false">B11+B12+B13</f>
        <v>14.94</v>
      </c>
      <c r="C14" s="12" t="n">
        <f aca="false">C11+C12+C13</f>
        <v>149.4</v>
      </c>
      <c r="D14" s="12" t="n">
        <f aca="false">D11+D12+D13</f>
        <v>3006.9</v>
      </c>
      <c r="E14" s="12" t="n">
        <f aca="false">E11+E12+E13</f>
        <v>396.9</v>
      </c>
    </row>
    <row r="15" customFormat="false" ht="15" hidden="false" customHeight="false" outlineLevel="0" collapsed="false">
      <c r="A15" s="4" t="s">
        <v>38</v>
      </c>
      <c r="B15" s="10" t="n">
        <f aca="false">Supuestos!$B$12*Supuestos!$B$5</f>
        <v>360</v>
      </c>
      <c r="C15" s="10" t="n">
        <f aca="false">Supuestos!$B$12*Supuestos!$B$5</f>
        <v>360</v>
      </c>
      <c r="D15" s="10" t="n">
        <f aca="false">Supuestos!$B$12*Supuestos!$B$5</f>
        <v>360</v>
      </c>
      <c r="E15" s="10" t="n">
        <f aca="false">Supuestos!$B$12*Supuestos!$B$5</f>
        <v>360</v>
      </c>
    </row>
    <row r="16" customFormat="false" ht="15" hidden="false" customHeight="false" outlineLevel="0" collapsed="false">
      <c r="A16" s="13" t="s">
        <v>39</v>
      </c>
      <c r="B16" s="14" t="n">
        <f aca="false">B14+B15</f>
        <v>374.94</v>
      </c>
      <c r="C16" s="14" t="n">
        <f aca="false">C14+C15</f>
        <v>509.4</v>
      </c>
      <c r="D16" s="14" t="n">
        <f aca="false">D14+D15</f>
        <v>3366.9</v>
      </c>
      <c r="E16" s="14" t="n">
        <f aca="false">E14+E15</f>
        <v>756.9</v>
      </c>
    </row>
    <row r="18" customFormat="false" ht="77.6" hidden="false" customHeight="false" outlineLevel="0" collapsed="false">
      <c r="A18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32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</row>
    <row r="5" customFormat="false" ht="15" hidden="false" customHeight="false" outlineLevel="0" collapsed="false">
      <c r="A5" s="4" t="s">
        <v>49</v>
      </c>
      <c r="B5" s="15" t="n">
        <v>0</v>
      </c>
      <c r="C5" s="15" t="n">
        <v>749</v>
      </c>
      <c r="D5" s="15" t="n">
        <v>1799</v>
      </c>
      <c r="E5" s="15" t="n">
        <v>4499</v>
      </c>
      <c r="F5" s="6" t="s">
        <v>50</v>
      </c>
    </row>
    <row r="6" customFormat="false" ht="15" hidden="false" customHeight="false" outlineLevel="0" collapsed="false">
      <c r="A6" s="4" t="s">
        <v>51</v>
      </c>
      <c r="B6" s="16" t="n">
        <v>1</v>
      </c>
      <c r="C6" s="16" t="n">
        <v>1</v>
      </c>
      <c r="D6" s="16" t="n">
        <v>3</v>
      </c>
      <c r="E6" s="16" t="n">
        <v>10</v>
      </c>
      <c r="F6" s="6" t="s">
        <v>52</v>
      </c>
    </row>
    <row r="7" customFormat="false" ht="15" hidden="false" customHeight="false" outlineLevel="0" collapsed="false">
      <c r="A7" s="4" t="s">
        <v>53</v>
      </c>
      <c r="B7" s="17" t="n">
        <v>50</v>
      </c>
      <c r="C7" s="17" t="n">
        <v>1000</v>
      </c>
      <c r="D7" s="17" t="n">
        <v>5000</v>
      </c>
      <c r="E7" s="17" t="n">
        <v>25000</v>
      </c>
      <c r="F7" s="6" t="s">
        <v>54</v>
      </c>
    </row>
    <row r="8" customFormat="false" ht="15" hidden="false" customHeight="false" outlineLevel="0" collapsed="false">
      <c r="A8" s="4" t="s">
        <v>55</v>
      </c>
      <c r="B8" s="16" t="s">
        <v>56</v>
      </c>
      <c r="C8" s="16" t="s">
        <v>57</v>
      </c>
      <c r="D8" s="16" t="s">
        <v>58</v>
      </c>
      <c r="E8" s="16" t="s">
        <v>59</v>
      </c>
      <c r="F8" s="6" t="s">
        <v>60</v>
      </c>
    </row>
    <row r="9" customFormat="false" ht="15" hidden="false" customHeight="false" outlineLevel="0" collapsed="false">
      <c r="A9" s="4" t="s">
        <v>61</v>
      </c>
      <c r="B9" s="16" t="s">
        <v>56</v>
      </c>
      <c r="C9" s="16" t="s">
        <v>58</v>
      </c>
      <c r="D9" s="16" t="s">
        <v>62</v>
      </c>
      <c r="E9" s="16" t="s">
        <v>63</v>
      </c>
      <c r="F9" s="6"/>
    </row>
    <row r="10" customFormat="false" ht="15" hidden="false" customHeight="false" outlineLevel="0" collapsed="false">
      <c r="A10" s="4" t="s">
        <v>64</v>
      </c>
      <c r="B10" s="16" t="s">
        <v>65</v>
      </c>
      <c r="C10" s="16" t="s">
        <v>57</v>
      </c>
      <c r="D10" s="16" t="s">
        <v>66</v>
      </c>
      <c r="E10" s="16" t="s">
        <v>63</v>
      </c>
      <c r="F10" s="6" t="s">
        <v>67</v>
      </c>
    </row>
    <row r="11" customFormat="false" ht="15" hidden="false" customHeight="false" outlineLevel="0" collapsed="false">
      <c r="A11" s="4" t="s">
        <v>68</v>
      </c>
      <c r="B11" s="17" t="n">
        <v>1</v>
      </c>
      <c r="C11" s="17" t="n">
        <v>3</v>
      </c>
      <c r="D11" s="17" t="n">
        <v>10</v>
      </c>
      <c r="E11" s="17" t="n">
        <v>25</v>
      </c>
      <c r="F11" s="6" t="s">
        <v>69</v>
      </c>
    </row>
    <row r="12" customFormat="false" ht="15" hidden="false" customHeight="false" outlineLevel="0" collapsed="false">
      <c r="A12" s="4" t="s">
        <v>70</v>
      </c>
      <c r="B12" s="18" t="s">
        <v>71</v>
      </c>
      <c r="C12" s="18" t="n">
        <v>100</v>
      </c>
      <c r="D12" s="18" t="n">
        <v>500</v>
      </c>
      <c r="E12" s="18" t="n">
        <v>2000</v>
      </c>
      <c r="F12" s="6" t="s">
        <v>72</v>
      </c>
    </row>
    <row r="13" customFormat="false" ht="15" hidden="false" customHeight="false" outlineLevel="0" collapsed="false">
      <c r="A13" s="4" t="s">
        <v>73</v>
      </c>
      <c r="B13" s="11" t="s">
        <v>65</v>
      </c>
      <c r="C13" s="19" t="n">
        <v>0.95</v>
      </c>
      <c r="D13" s="19" t="n">
        <v>0.75</v>
      </c>
      <c r="E13" s="19" t="n">
        <v>0.55</v>
      </c>
      <c r="F13" s="6" t="s">
        <v>72</v>
      </c>
    </row>
    <row r="14" customFormat="false" ht="15" hidden="false" customHeight="false" outlineLevel="0" collapsed="false">
      <c r="A14" s="4" t="s">
        <v>74</v>
      </c>
      <c r="B14" s="18" t="s">
        <v>75</v>
      </c>
      <c r="C14" s="18" t="n">
        <v>1000</v>
      </c>
      <c r="D14" s="18" t="n">
        <v>5000</v>
      </c>
      <c r="E14" s="18" t="n">
        <v>20000</v>
      </c>
      <c r="F14" s="6" t="s">
        <v>72</v>
      </c>
    </row>
    <row r="15" customFormat="false" ht="15" hidden="false" customHeight="false" outlineLevel="0" collapsed="false">
      <c r="A15" s="4" t="s">
        <v>76</v>
      </c>
      <c r="B15" s="16" t="s">
        <v>71</v>
      </c>
      <c r="C15" s="16" t="s">
        <v>77</v>
      </c>
      <c r="D15" s="16" t="s">
        <v>66</v>
      </c>
      <c r="E15" s="16" t="s">
        <v>78</v>
      </c>
      <c r="F15" s="6" t="s">
        <v>79</v>
      </c>
    </row>
    <row r="16" customFormat="false" ht="15" hidden="false" customHeight="false" outlineLevel="0" collapsed="false">
      <c r="A16" s="4" t="s">
        <v>80</v>
      </c>
      <c r="B16" s="16" t="s">
        <v>81</v>
      </c>
      <c r="C16" s="16" t="s">
        <v>82</v>
      </c>
      <c r="D16" s="16" t="s">
        <v>83</v>
      </c>
      <c r="E16" s="16" t="s">
        <v>84</v>
      </c>
      <c r="F16" s="6" t="s">
        <v>85</v>
      </c>
    </row>
    <row r="17" customFormat="false" ht="15" hidden="false" customHeight="false" outlineLevel="0" collapsed="false">
      <c r="A17" s="4" t="s">
        <v>86</v>
      </c>
      <c r="B17" s="16" t="n">
        <v>1</v>
      </c>
      <c r="C17" s="16" t="n">
        <v>1</v>
      </c>
      <c r="D17" s="16" t="n">
        <v>3</v>
      </c>
      <c r="E17" s="16" t="n">
        <v>10</v>
      </c>
      <c r="F17" s="6"/>
    </row>
    <row r="18" customFormat="false" ht="26.85" hidden="false" customHeight="false" outlineLevel="0" collapsed="false">
      <c r="A18" s="4" t="s">
        <v>87</v>
      </c>
      <c r="B18" s="16" t="s">
        <v>88</v>
      </c>
      <c r="C18" s="16" t="s">
        <v>89</v>
      </c>
      <c r="D18" s="16" t="s">
        <v>90</v>
      </c>
      <c r="E18" s="16" t="s">
        <v>91</v>
      </c>
      <c r="F18" s="6" t="s">
        <v>92</v>
      </c>
    </row>
    <row r="19" customFormat="false" ht="15" hidden="false" customHeight="false" outlineLevel="0" collapsed="false">
      <c r="A19" s="4" t="s">
        <v>93</v>
      </c>
      <c r="B19" s="16" t="s">
        <v>65</v>
      </c>
      <c r="C19" s="16" t="s">
        <v>65</v>
      </c>
      <c r="D19" s="16" t="s">
        <v>94</v>
      </c>
      <c r="E19" s="16" t="s">
        <v>94</v>
      </c>
      <c r="F19" s="6" t="s">
        <v>95</v>
      </c>
    </row>
    <row r="20" customFormat="false" ht="26.85" hidden="false" customHeight="false" outlineLevel="0" collapsed="false">
      <c r="A20" s="4" t="s">
        <v>96</v>
      </c>
      <c r="B20" s="16" t="s">
        <v>97</v>
      </c>
      <c r="C20" s="16" t="s">
        <v>98</v>
      </c>
      <c r="D20" s="16" t="s">
        <v>99</v>
      </c>
      <c r="E20" s="16" t="s">
        <v>100</v>
      </c>
      <c r="F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26.85" hidden="false" customHeight="fals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</row>
    <row r="5" customFormat="false" ht="15" hidden="false" customHeight="false" outlineLevel="0" collapsed="false">
      <c r="A5" s="4" t="s">
        <v>44</v>
      </c>
      <c r="B5" s="20" t="n">
        <f aca="false">Planes!$B$5</f>
        <v>0</v>
      </c>
      <c r="C5" s="20" t="n">
        <f aca="false">'Costo por perfil'!$B$16</f>
        <v>374.94</v>
      </c>
      <c r="D5" s="10" t="n">
        <f aca="false">B5-C5</f>
        <v>-374.94</v>
      </c>
      <c r="E5" s="21" t="n">
        <f aca="false">IF(B5=0,0,D5/B5)</f>
        <v>0</v>
      </c>
    </row>
    <row r="6" customFormat="false" ht="15" hidden="false" customHeight="false" outlineLevel="0" collapsed="false">
      <c r="A6" s="4" t="s">
        <v>45</v>
      </c>
      <c r="B6" s="20" t="n">
        <f aca="false">Planes!$C$5</f>
        <v>749</v>
      </c>
      <c r="C6" s="20" t="n">
        <f aca="false">'Costo por perfil'!$B$16</f>
        <v>374.94</v>
      </c>
      <c r="D6" s="10" t="n">
        <f aca="false">B6-C6</f>
        <v>374.06</v>
      </c>
      <c r="E6" s="21" t="n">
        <f aca="false">IF(B6=0,0,D6/B6)</f>
        <v>0.499412550066756</v>
      </c>
    </row>
    <row r="7" customFormat="false" ht="15" hidden="false" customHeight="false" outlineLevel="0" collapsed="false">
      <c r="A7" s="4" t="s">
        <v>46</v>
      </c>
      <c r="B7" s="20" t="n">
        <f aca="false">Planes!$D$5</f>
        <v>1799</v>
      </c>
      <c r="C7" s="20" t="n">
        <f aca="false">'Costo por perfil'!$C$16</f>
        <v>509.4</v>
      </c>
      <c r="D7" s="10" t="n">
        <f aca="false">B7-C7</f>
        <v>1289.6</v>
      </c>
      <c r="E7" s="21" t="n">
        <f aca="false">IF(B7=0,0,D7/B7)</f>
        <v>0.716842690383546</v>
      </c>
    </row>
    <row r="8" customFormat="false" ht="15" hidden="false" customHeight="false" outlineLevel="0" collapsed="false">
      <c r="A8" s="4" t="s">
        <v>47</v>
      </c>
      <c r="B8" s="20" t="n">
        <f aca="false">Planes!$E$5</f>
        <v>4499</v>
      </c>
      <c r="C8" s="20" t="n">
        <f aca="false">'Costo por perfil'!$E$16</f>
        <v>756.9</v>
      </c>
      <c r="D8" s="10" t="n">
        <f aca="false">B8-C8</f>
        <v>3742.1</v>
      </c>
      <c r="E8" s="21" t="n">
        <f aca="false">IF(B8=0,0,D8/B8)</f>
        <v>0.831762613914203</v>
      </c>
    </row>
    <row r="10" customFormat="false" ht="64.9" hidden="false" customHeight="false" outlineLevel="0" collapsed="false">
      <c r="A10" s="6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111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112</v>
      </c>
      <c r="B5" s="22" t="n">
        <v>2000</v>
      </c>
      <c r="C5" s="6" t="s">
        <v>113</v>
      </c>
    </row>
    <row r="6" customFormat="false" ht="15" hidden="false" customHeight="false" outlineLevel="0" collapsed="false">
      <c r="A6" s="4" t="s">
        <v>114</v>
      </c>
      <c r="B6" s="7" t="n">
        <v>0.55</v>
      </c>
      <c r="C6" s="6" t="s">
        <v>115</v>
      </c>
    </row>
    <row r="7" customFormat="false" ht="15" hidden="false" customHeight="false" outlineLevel="0" collapsed="false">
      <c r="A7" s="4" t="s">
        <v>116</v>
      </c>
      <c r="B7" s="22" t="n">
        <v>5000</v>
      </c>
      <c r="C7" s="6" t="s">
        <v>117</v>
      </c>
    </row>
    <row r="8" customFormat="false" ht="15" hidden="false" customHeight="false" outlineLevel="0" collapsed="false">
      <c r="A8" s="4" t="s">
        <v>118</v>
      </c>
      <c r="B8" s="22" t="n">
        <v>0</v>
      </c>
      <c r="C8" s="6"/>
    </row>
    <row r="10" customFormat="false" ht="15" hidden="false" customHeight="false" outlineLevel="0" collapsed="false">
      <c r="A10" s="3" t="s">
        <v>119</v>
      </c>
      <c r="B10" s="3" t="s">
        <v>120</v>
      </c>
      <c r="C10" s="3" t="s">
        <v>121</v>
      </c>
    </row>
    <row r="11" customFormat="false" ht="15" hidden="false" customHeight="false" outlineLevel="0" collapsed="false">
      <c r="A11" s="4" t="s">
        <v>122</v>
      </c>
      <c r="B11" s="17" t="n">
        <f aca="false">B7+B8</f>
        <v>5000</v>
      </c>
      <c r="C11" s="6" t="s">
        <v>123</v>
      </c>
    </row>
    <row r="12" customFormat="false" ht="15" hidden="false" customHeight="false" outlineLevel="0" collapsed="false">
      <c r="A12" s="4" t="s">
        <v>124</v>
      </c>
      <c r="B12" s="17" t="n">
        <f aca="false">MAX(0,B11-B5)</f>
        <v>3000</v>
      </c>
      <c r="C12" s="6" t="s">
        <v>125</v>
      </c>
    </row>
    <row r="13" customFormat="false" ht="15" hidden="false" customHeight="false" outlineLevel="0" collapsed="false">
      <c r="A13" s="4" t="s">
        <v>126</v>
      </c>
      <c r="B13" s="10" t="n">
        <f aca="false">(B7*Supuestos!$B$8+B8*Supuestos!$B$7)*Supuestos!$B$5</f>
        <v>2610</v>
      </c>
      <c r="C13" s="6" t="s">
        <v>127</v>
      </c>
    </row>
    <row r="14" customFormat="false" ht="26.85" hidden="false" customHeight="false" outlineLevel="0" collapsed="false">
      <c r="A14" s="4" t="s">
        <v>128</v>
      </c>
      <c r="B14" s="10" t="n">
        <f aca="false">IF(B11=0,0,B12*B13/B11)</f>
        <v>1566</v>
      </c>
      <c r="C14" s="6" t="s">
        <v>129</v>
      </c>
    </row>
    <row r="15" customFormat="false" ht="15" hidden="false" customHeight="false" outlineLevel="0" collapsed="false">
      <c r="A15" s="4" t="s">
        <v>130</v>
      </c>
      <c r="B15" s="12" t="n">
        <f aca="false">B12*B6</f>
        <v>1650</v>
      </c>
      <c r="C15" s="6" t="s">
        <v>131</v>
      </c>
    </row>
    <row r="16" customFormat="false" ht="15" hidden="false" customHeight="false" outlineLevel="0" collapsed="false">
      <c r="A16" s="13" t="s">
        <v>132</v>
      </c>
      <c r="B16" s="14" t="n">
        <f aca="false">B15-B14</f>
        <v>84.0000000000002</v>
      </c>
      <c r="C16" s="6" t="s">
        <v>133</v>
      </c>
    </row>
    <row r="18" customFormat="false" ht="77.6" hidden="false" customHeight="false" outlineLevel="0" collapsed="false">
      <c r="A18" s="6" t="s">
        <v>134</v>
      </c>
    </row>
    <row r="19" customFormat="false" ht="52.2" hidden="false" customHeight="false" outlineLevel="0" collapsed="false">
      <c r="A19" s="6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3" t="s">
        <v>138</v>
      </c>
      <c r="B4" s="3" t="s">
        <v>139</v>
      </c>
      <c r="C4" s="3" t="s">
        <v>140</v>
      </c>
      <c r="D4" s="3" t="s">
        <v>141</v>
      </c>
      <c r="E4" s="3" t="s">
        <v>142</v>
      </c>
    </row>
    <row r="5" customFormat="false" ht="26.85" hidden="false" customHeight="false" outlineLevel="0" collapsed="false">
      <c r="A5" s="4" t="s">
        <v>143</v>
      </c>
      <c r="B5" s="23" t="s">
        <v>144</v>
      </c>
      <c r="C5" s="19" t="n">
        <v>79</v>
      </c>
      <c r="D5" s="19" t="n">
        <v>279</v>
      </c>
      <c r="E5" s="6" t="s">
        <v>145</v>
      </c>
    </row>
    <row r="6" customFormat="false" ht="26.85" hidden="false" customHeight="false" outlineLevel="0" collapsed="false">
      <c r="A6" s="4" t="s">
        <v>146</v>
      </c>
      <c r="B6" s="23" t="s">
        <v>147</v>
      </c>
      <c r="C6" s="19" t="n">
        <v>59</v>
      </c>
      <c r="D6" s="19" t="n">
        <v>279</v>
      </c>
      <c r="E6" s="6" t="s">
        <v>148</v>
      </c>
    </row>
    <row r="7" customFormat="false" ht="26.85" hidden="false" customHeight="false" outlineLevel="0" collapsed="false">
      <c r="A7" s="4" t="s">
        <v>149</v>
      </c>
      <c r="B7" s="23" t="s">
        <v>150</v>
      </c>
      <c r="C7" s="19" t="n">
        <v>0</v>
      </c>
      <c r="D7" s="19" t="n">
        <v>69</v>
      </c>
      <c r="E7" s="6" t="s">
        <v>151</v>
      </c>
    </row>
    <row r="8" customFormat="false" ht="26.85" hidden="false" customHeight="false" outlineLevel="0" collapsed="false">
      <c r="A8" s="4" t="s">
        <v>152</v>
      </c>
      <c r="B8" s="23" t="s">
        <v>153</v>
      </c>
      <c r="C8" s="19" t="n">
        <v>24</v>
      </c>
      <c r="D8" s="19" t="n">
        <v>300</v>
      </c>
      <c r="E8" s="6" t="s">
        <v>154</v>
      </c>
    </row>
    <row r="10" customFormat="false" ht="26.85" hidden="false" customHeight="false" outlineLevel="0" collapsed="false">
      <c r="A10" s="24" t="s">
        <v>155</v>
      </c>
      <c r="B10" s="4" t="s">
        <v>156</v>
      </c>
      <c r="C10" s="11" t="n">
        <f aca="false">Planes!C5/Supuestos!$B$5</f>
        <v>41.6111111111111</v>
      </c>
      <c r="D10" s="11" t="n">
        <f aca="false">Planes!E5/Supuestos!$B$5</f>
        <v>249.944444444444</v>
      </c>
      <c r="E10" s="6" t="s">
        <v>157</v>
      </c>
    </row>
    <row r="11" customFormat="false" ht="26.85" hidden="false" customHeight="false" outlineLevel="0" collapsed="false">
      <c r="A11" s="6" t="s">
        <v>158</v>
      </c>
      <c r="C11" s="20" t="n">
        <f aca="false">Planes!C5</f>
        <v>749</v>
      </c>
      <c r="D11" s="20" t="n">
        <f aca="false">Planes!E5</f>
        <v>4499</v>
      </c>
      <c r="E11" s="6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2026-06-26T15:59:39Z</dcterms:created>
  <dc:creator>openpyxl</dc:creator>
  <dc:description/>
  <dc:language>en-US</dc:language>
  <cp:lastModifiedBy/>
  <dcterms:modified xsi:type="dcterms:W3CDTF">2026-06-26T15:59:39Z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